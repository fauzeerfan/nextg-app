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iki Ruswandi\Downloads\"/>
    </mc:Choice>
  </mc:AlternateContent>
  <xr:revisionPtr revIDLastSave="0" documentId="13_ncr:1_{3346D5AB-3804-49B9-9BF5-B6B180BDA4AB}" xr6:coauthVersionLast="47" xr6:coauthVersionMax="47" xr10:uidLastSave="{00000000-0000-0000-0000-000000000000}"/>
  <bookViews>
    <workbookView xWindow="-120" yWindow="-120" windowWidth="20730" windowHeight="11160" firstSheet="3" activeTab="3" xr2:uid="{00000000-000D-0000-FFFF-FFFF00000000}"/>
  </bookViews>
  <sheets>
    <sheet name="NOV-25" sheetId="1" state="hidden" r:id="rId1"/>
    <sheet name="April" sheetId="2" state="hidden" r:id="rId2"/>
    <sheet name="Mei" sheetId="3" state="hidden" r:id="rId3"/>
    <sheet name="Juni" sheetId="4" r:id="rId4"/>
  </sheets>
  <calcPr calcId="191029"/>
</workbook>
</file>

<file path=xl/calcChain.xml><?xml version="1.0" encoding="utf-8"?>
<calcChain xmlns="http://schemas.openxmlformats.org/spreadsheetml/2006/main">
  <c r="D14" i="4" l="1"/>
  <c r="D13" i="4"/>
  <c r="D12" i="4"/>
  <c r="D9" i="4"/>
  <c r="D8" i="4"/>
  <c r="D11" i="4" l="1"/>
  <c r="D7" i="3"/>
  <c r="D14" i="3"/>
  <c r="D13" i="3"/>
  <c r="D12" i="3"/>
  <c r="D11" i="3"/>
  <c r="C14" i="1"/>
  <c r="C12" i="1"/>
</calcChain>
</file>

<file path=xl/sharedStrings.xml><?xml version="1.0" encoding="utf-8"?>
<sst xmlns="http://schemas.openxmlformats.org/spreadsheetml/2006/main" count="268" uniqueCount="70">
  <si>
    <t>BARANG DI LUAR CS HASIL SO MANDIRI BULAN NOVEMBER 2025</t>
  </si>
  <si>
    <t>ORDER</t>
  </si>
  <si>
    <t>BARANG</t>
  </si>
  <si>
    <t>QTY</t>
  </si>
  <si>
    <t>UOM</t>
  </si>
  <si>
    <t>K1YH</t>
  </si>
  <si>
    <t>BENANG BLACK</t>
  </si>
  <si>
    <t>CNS</t>
  </si>
  <si>
    <t>BENANG GREY</t>
  </si>
  <si>
    <t>BENANG BROWN</t>
  </si>
  <si>
    <t xml:space="preserve">WEBBING </t>
  </si>
  <si>
    <t>MTR</t>
  </si>
  <si>
    <t>K2FP &amp; K3VA</t>
  </si>
  <si>
    <t>K1ZA</t>
  </si>
  <si>
    <t>WEBBING</t>
  </si>
  <si>
    <t>K2SA</t>
  </si>
  <si>
    <t>K0WL</t>
  </si>
  <si>
    <t>K0WW</t>
  </si>
  <si>
    <t>BENANG RED</t>
  </si>
  <si>
    <t>KASAI</t>
  </si>
  <si>
    <t>BENANG RED NO.5</t>
  </si>
  <si>
    <t>BENANG RED NO.8</t>
  </si>
  <si>
    <t>BENANG GREY NO. 5</t>
  </si>
  <si>
    <t>BENANG GREY NO. 8</t>
  </si>
  <si>
    <t>BENANG DI LUAR CS HASIL SO MANDIRI BULAN APRIL</t>
  </si>
  <si>
    <t>KODE IT</t>
  </si>
  <si>
    <t>ISS0200806</t>
  </si>
  <si>
    <t>BENANG DARK GREY</t>
  </si>
  <si>
    <t>ISS0200807</t>
  </si>
  <si>
    <t>ISS0200816</t>
  </si>
  <si>
    <t>PACK</t>
  </si>
  <si>
    <t>K2FP &amp; K3VA &amp; K2FY</t>
  </si>
  <si>
    <t>ISS0201207</t>
  </si>
  <si>
    <t>BENANG LIGHT BROWN</t>
  </si>
  <si>
    <t>ISS0201210</t>
  </si>
  <si>
    <t>LSS0200693</t>
  </si>
  <si>
    <t>K0WW &amp; K0WL</t>
  </si>
  <si>
    <t>ISS0200808</t>
  </si>
  <si>
    <t>ISS0200809</t>
  </si>
  <si>
    <t>ALGERINDO</t>
  </si>
  <si>
    <t>LAN0100001</t>
  </si>
  <si>
    <t>BENANG WHITE</t>
  </si>
  <si>
    <t>LAN0100002</t>
  </si>
  <si>
    <t>LAN0100003</t>
  </si>
  <si>
    <t>KASSAI</t>
  </si>
  <si>
    <t>BENANG  GREY NO 5</t>
  </si>
  <si>
    <t>LKS0100021</t>
  </si>
  <si>
    <t>BENANG  GREY NO 8</t>
  </si>
  <si>
    <t>LKS0100022</t>
  </si>
  <si>
    <t>BENANG RED NO 5</t>
  </si>
  <si>
    <t>LKS010005</t>
  </si>
  <si>
    <t>BENANG RED NO 8</t>
  </si>
  <si>
    <t>LKS010006</t>
  </si>
  <si>
    <t>BENANG DI LUAR CS HASIL SO MANDIRI BULAN MEI</t>
  </si>
  <si>
    <t>NISSENI</t>
  </si>
  <si>
    <t>BENANG  GREY</t>
  </si>
  <si>
    <t>BENANG  BLACK</t>
  </si>
  <si>
    <t>BENANG  RED</t>
  </si>
  <si>
    <t>BENANG  BLUE</t>
  </si>
  <si>
    <t>LSS0200717</t>
  </si>
  <si>
    <t>LSS0200716</t>
  </si>
  <si>
    <t>LSS0200718</t>
  </si>
  <si>
    <t>LSS0200719</t>
  </si>
  <si>
    <t>LSS0201432</t>
  </si>
  <si>
    <t>LSS0201434</t>
  </si>
  <si>
    <t>LBS0200307</t>
  </si>
  <si>
    <t>LBS0200308</t>
  </si>
  <si>
    <t>LBS0200218</t>
  </si>
  <si>
    <t>NISSEN</t>
  </si>
  <si>
    <t>BENANG DI LUAR CS HASIL SO MANDIRI BULAN JUNI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</si>
</sst>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0" applyFont="1"/>
    <xf numFmtId="0" fontId="3" fillId="0" borderId="1" xfId="0" applyFont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3" fillId="2" borderId="1" xfId="0" applyFont="1" applyFill="1" applyBorder="1"/>
    <xf numFmtId="0" fontId="2" fillId="2" borderId="1" xfId="0" applyFont="1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G13" sqref="G13"/>
    </sheetView>
  </sheetViews>
  <sheetFormatPr defaultColWidth="9" defaultRowHeight="15"/>
  <cols>
    <col min="1" max="1" width="13.7109375" customWidth="1"/>
    <col min="2" max="2" width="18.7109375" customWidth="1"/>
  </cols>
  <sheetData>
    <row r="1" spans="1:4" ht="18.75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10" t="s">
        <v>5</v>
      </c>
      <c r="B4" s="2" t="s">
        <v>6</v>
      </c>
      <c r="C4" s="2">
        <v>80</v>
      </c>
      <c r="D4" s="2" t="s">
        <v>7</v>
      </c>
    </row>
    <row r="5" spans="1:4">
      <c r="A5" s="11"/>
      <c r="B5" s="2" t="s">
        <v>8</v>
      </c>
      <c r="C5" s="2">
        <v>149</v>
      </c>
      <c r="D5" s="2" t="s">
        <v>7</v>
      </c>
    </row>
    <row r="6" spans="1:4">
      <c r="A6" s="11"/>
      <c r="B6" s="2" t="s">
        <v>9</v>
      </c>
      <c r="C6" s="2">
        <v>33</v>
      </c>
      <c r="D6" s="2" t="s">
        <v>7</v>
      </c>
    </row>
    <row r="7" spans="1:4">
      <c r="A7" s="12"/>
      <c r="B7" s="2" t="s">
        <v>10</v>
      </c>
      <c r="C7" s="2">
        <v>50000</v>
      </c>
      <c r="D7" s="2" t="s">
        <v>11</v>
      </c>
    </row>
    <row r="8" spans="1:4">
      <c r="A8" s="2" t="s">
        <v>12</v>
      </c>
      <c r="B8" s="2" t="s">
        <v>6</v>
      </c>
      <c r="C8" s="2">
        <v>178</v>
      </c>
      <c r="D8" s="2" t="s">
        <v>7</v>
      </c>
    </row>
    <row r="9" spans="1:4">
      <c r="A9" s="10" t="s">
        <v>13</v>
      </c>
      <c r="B9" s="2" t="s">
        <v>6</v>
      </c>
      <c r="C9" s="2">
        <v>188</v>
      </c>
      <c r="D9" s="2" t="s">
        <v>7</v>
      </c>
    </row>
    <row r="10" spans="1:4">
      <c r="A10" s="11"/>
      <c r="B10" s="2" t="s">
        <v>8</v>
      </c>
      <c r="C10" s="2">
        <v>66</v>
      </c>
      <c r="D10" s="2" t="s">
        <v>7</v>
      </c>
    </row>
    <row r="11" spans="1:4">
      <c r="A11" s="12"/>
      <c r="B11" s="2" t="s">
        <v>14</v>
      </c>
      <c r="C11" s="2">
        <v>6500</v>
      </c>
      <c r="D11" s="2" t="s">
        <v>11</v>
      </c>
    </row>
    <row r="12" spans="1:4">
      <c r="A12" s="2" t="s">
        <v>15</v>
      </c>
      <c r="B12" s="2" t="s">
        <v>6</v>
      </c>
      <c r="C12" s="2">
        <f>25+32</f>
        <v>57</v>
      </c>
      <c r="D12" s="2" t="s">
        <v>7</v>
      </c>
    </row>
    <row r="13" spans="1:4">
      <c r="A13" s="2" t="s">
        <v>16</v>
      </c>
      <c r="B13" s="2" t="s">
        <v>6</v>
      </c>
      <c r="C13" s="2">
        <v>150</v>
      </c>
      <c r="D13" s="2" t="s">
        <v>7</v>
      </c>
    </row>
    <row r="14" spans="1:4">
      <c r="A14" s="10" t="s">
        <v>17</v>
      </c>
      <c r="B14" s="2" t="s">
        <v>6</v>
      </c>
      <c r="C14" s="2">
        <f>150+132+132</f>
        <v>414</v>
      </c>
      <c r="D14" s="2" t="s">
        <v>7</v>
      </c>
    </row>
    <row r="15" spans="1:4">
      <c r="A15" s="11"/>
      <c r="B15" s="2" t="s">
        <v>9</v>
      </c>
      <c r="C15" s="2">
        <v>32</v>
      </c>
      <c r="D15" s="2" t="s">
        <v>7</v>
      </c>
    </row>
    <row r="16" spans="1:4">
      <c r="A16" s="12"/>
      <c r="B16" s="2" t="s">
        <v>18</v>
      </c>
      <c r="C16" s="2">
        <v>30</v>
      </c>
      <c r="D16" s="2" t="s">
        <v>7</v>
      </c>
    </row>
    <row r="17" spans="1:4">
      <c r="A17" s="10" t="s">
        <v>19</v>
      </c>
      <c r="B17" s="2" t="s">
        <v>20</v>
      </c>
      <c r="C17" s="2">
        <v>46</v>
      </c>
      <c r="D17" s="2" t="s">
        <v>7</v>
      </c>
    </row>
    <row r="18" spans="1:4">
      <c r="A18" s="11"/>
      <c r="B18" s="2" t="s">
        <v>21</v>
      </c>
      <c r="C18" s="2">
        <v>19</v>
      </c>
      <c r="D18" s="2" t="s">
        <v>7</v>
      </c>
    </row>
    <row r="19" spans="1:4">
      <c r="A19" s="11"/>
      <c r="B19" s="2" t="s">
        <v>22</v>
      </c>
      <c r="C19" s="2">
        <v>20</v>
      </c>
      <c r="D19" s="2" t="s">
        <v>7</v>
      </c>
    </row>
    <row r="20" spans="1:4">
      <c r="A20" s="12"/>
      <c r="B20" s="2" t="s">
        <v>23</v>
      </c>
      <c r="C20" s="2">
        <v>15</v>
      </c>
      <c r="D20" s="2" t="s">
        <v>7</v>
      </c>
    </row>
  </sheetData>
  <mergeCells count="4">
    <mergeCell ref="A4:A7"/>
    <mergeCell ref="A9:A11"/>
    <mergeCell ref="A14:A16"/>
    <mergeCell ref="A17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>
      <selection activeCell="M10" sqref="M10"/>
    </sheetView>
  </sheetViews>
  <sheetFormatPr defaultColWidth="9" defaultRowHeight="15"/>
  <cols>
    <col min="1" max="1" width="13.7109375" customWidth="1"/>
    <col min="2" max="2" width="22.28515625" customWidth="1"/>
    <col min="3" max="3" width="12.7109375" customWidth="1"/>
  </cols>
  <sheetData>
    <row r="1" spans="1:5" ht="18.75">
      <c r="A1" s="1" t="s">
        <v>24</v>
      </c>
    </row>
    <row r="3" spans="1:5">
      <c r="A3" s="2" t="s">
        <v>1</v>
      </c>
      <c r="B3" s="2" t="s">
        <v>2</v>
      </c>
      <c r="C3" s="2" t="s">
        <v>25</v>
      </c>
      <c r="D3" s="3" t="s">
        <v>3</v>
      </c>
      <c r="E3" s="2" t="s">
        <v>4</v>
      </c>
    </row>
    <row r="4" spans="1:5">
      <c r="A4" s="10" t="s">
        <v>5</v>
      </c>
      <c r="B4" s="2" t="s">
        <v>6</v>
      </c>
      <c r="C4" s="2" t="s">
        <v>26</v>
      </c>
      <c r="D4" s="3">
        <v>138</v>
      </c>
      <c r="E4" s="2" t="s">
        <v>7</v>
      </c>
    </row>
    <row r="5" spans="1:5">
      <c r="A5" s="11"/>
      <c r="B5" s="2" t="s">
        <v>27</v>
      </c>
      <c r="C5" s="2" t="s">
        <v>28</v>
      </c>
      <c r="D5" s="3"/>
      <c r="E5" s="2" t="s">
        <v>7</v>
      </c>
    </row>
    <row r="6" spans="1:5">
      <c r="A6" s="11"/>
      <c r="B6" s="2" t="s">
        <v>9</v>
      </c>
      <c r="C6" s="2" t="s">
        <v>29</v>
      </c>
      <c r="D6" s="3"/>
      <c r="E6" s="2" t="s">
        <v>7</v>
      </c>
    </row>
    <row r="7" spans="1:5">
      <c r="A7" s="11"/>
      <c r="B7" s="2" t="s">
        <v>14</v>
      </c>
      <c r="C7" s="2"/>
      <c r="D7" s="3">
        <v>9</v>
      </c>
      <c r="E7" s="2" t="s">
        <v>30</v>
      </c>
    </row>
    <row r="8" spans="1:5">
      <c r="A8" s="13" t="s">
        <v>31</v>
      </c>
      <c r="B8" s="2" t="s">
        <v>27</v>
      </c>
      <c r="C8" s="2" t="s">
        <v>32</v>
      </c>
      <c r="D8" s="3">
        <v>160</v>
      </c>
      <c r="E8" s="2" t="s">
        <v>7</v>
      </c>
    </row>
    <row r="9" spans="1:5">
      <c r="A9" s="14"/>
      <c r="B9" s="2" t="s">
        <v>33</v>
      </c>
      <c r="C9" s="2" t="s">
        <v>34</v>
      </c>
      <c r="D9" s="3"/>
      <c r="E9" s="2" t="s">
        <v>7</v>
      </c>
    </row>
    <row r="10" spans="1:5">
      <c r="A10" s="3" t="s">
        <v>15</v>
      </c>
      <c r="B10" s="2" t="s">
        <v>6</v>
      </c>
      <c r="C10" s="2" t="s">
        <v>35</v>
      </c>
      <c r="D10" s="3"/>
      <c r="E10" s="2" t="s">
        <v>7</v>
      </c>
    </row>
    <row r="11" spans="1:5">
      <c r="A11" s="10" t="s">
        <v>36</v>
      </c>
      <c r="B11" s="2" t="s">
        <v>6</v>
      </c>
      <c r="C11" s="2" t="s">
        <v>26</v>
      </c>
      <c r="D11" s="3">
        <v>140</v>
      </c>
      <c r="E11" s="2" t="s">
        <v>7</v>
      </c>
    </row>
    <row r="12" spans="1:5">
      <c r="A12" s="11"/>
      <c r="B12" s="2" t="s">
        <v>27</v>
      </c>
      <c r="C12" s="2" t="s">
        <v>28</v>
      </c>
      <c r="D12" s="3">
        <v>30</v>
      </c>
      <c r="E12" s="2" t="s">
        <v>7</v>
      </c>
    </row>
    <row r="13" spans="1:5">
      <c r="A13" s="11"/>
      <c r="B13" s="2" t="s">
        <v>9</v>
      </c>
      <c r="C13" s="2" t="s">
        <v>37</v>
      </c>
      <c r="D13" s="3">
        <v>96</v>
      </c>
      <c r="E13" s="2" t="s">
        <v>7</v>
      </c>
    </row>
    <row r="14" spans="1:5">
      <c r="A14" s="11"/>
      <c r="B14" s="2" t="s">
        <v>18</v>
      </c>
      <c r="C14" s="2" t="s">
        <v>38</v>
      </c>
      <c r="D14" s="3">
        <v>30</v>
      </c>
      <c r="E14" s="2" t="s">
        <v>7</v>
      </c>
    </row>
    <row r="15" spans="1:5">
      <c r="A15" s="12"/>
      <c r="B15" s="2" t="s">
        <v>14</v>
      </c>
      <c r="C15" s="2"/>
      <c r="D15" s="3">
        <v>6</v>
      </c>
      <c r="E15" s="2" t="s">
        <v>30</v>
      </c>
    </row>
    <row r="16" spans="1:5">
      <c r="A16" s="15" t="s">
        <v>39</v>
      </c>
      <c r="B16" s="2" t="s">
        <v>6</v>
      </c>
      <c r="C16" s="2" t="s">
        <v>40</v>
      </c>
      <c r="D16" s="3">
        <v>40</v>
      </c>
      <c r="E16" s="2" t="s">
        <v>7</v>
      </c>
    </row>
    <row r="17" spans="1:5">
      <c r="A17" s="15"/>
      <c r="B17" s="2" t="s">
        <v>41</v>
      </c>
      <c r="C17" s="2" t="s">
        <v>42</v>
      </c>
      <c r="D17" s="3">
        <v>29</v>
      </c>
      <c r="E17" s="2" t="s">
        <v>7</v>
      </c>
    </row>
    <row r="18" spans="1:5">
      <c r="A18" s="15"/>
      <c r="B18" s="2" t="s">
        <v>18</v>
      </c>
      <c r="C18" s="2" t="s">
        <v>43</v>
      </c>
      <c r="D18" s="3">
        <v>7</v>
      </c>
      <c r="E18" s="2" t="s">
        <v>7</v>
      </c>
    </row>
    <row r="19" spans="1:5">
      <c r="A19" s="10" t="s">
        <v>44</v>
      </c>
      <c r="B19" s="2" t="s">
        <v>45</v>
      </c>
      <c r="C19" s="2" t="s">
        <v>46</v>
      </c>
      <c r="D19" s="3">
        <v>30</v>
      </c>
      <c r="E19" s="2" t="s">
        <v>7</v>
      </c>
    </row>
    <row r="20" spans="1:5">
      <c r="A20" s="11"/>
      <c r="B20" s="2" t="s">
        <v>47</v>
      </c>
      <c r="C20" s="2" t="s">
        <v>48</v>
      </c>
      <c r="D20" s="3">
        <v>18</v>
      </c>
      <c r="E20" s="2" t="s">
        <v>7</v>
      </c>
    </row>
    <row r="21" spans="1:5">
      <c r="A21" s="11"/>
      <c r="B21" s="2" t="s">
        <v>49</v>
      </c>
      <c r="C21" s="2" t="s">
        <v>50</v>
      </c>
      <c r="D21" s="3">
        <v>50</v>
      </c>
      <c r="E21" s="2" t="s">
        <v>7</v>
      </c>
    </row>
    <row r="22" spans="1:5">
      <c r="A22" s="12"/>
      <c r="B22" s="2" t="s">
        <v>51</v>
      </c>
      <c r="C22" s="2" t="s">
        <v>52</v>
      </c>
      <c r="D22" s="3">
        <v>38</v>
      </c>
      <c r="E22" s="2" t="s">
        <v>7</v>
      </c>
    </row>
  </sheetData>
  <mergeCells count="5">
    <mergeCell ref="A4:A7"/>
    <mergeCell ref="A8:A9"/>
    <mergeCell ref="A11:A15"/>
    <mergeCell ref="A16:A18"/>
    <mergeCell ref="A19:A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C7AED-5ACA-491D-BA82-6B07274ADE06}">
  <dimension ref="A1:F26"/>
  <sheetViews>
    <sheetView workbookViewId="0">
      <selection activeCell="D7" sqref="D7"/>
    </sheetView>
  </sheetViews>
  <sheetFormatPr defaultColWidth="9" defaultRowHeight="15"/>
  <cols>
    <col min="1" max="1" width="13.7109375" customWidth="1"/>
    <col min="2" max="2" width="22.28515625" customWidth="1"/>
    <col min="3" max="3" width="12.7109375" customWidth="1"/>
  </cols>
  <sheetData>
    <row r="1" spans="1:5" ht="18.75">
      <c r="A1" s="1" t="s">
        <v>53</v>
      </c>
    </row>
    <row r="3" spans="1:5">
      <c r="A3" s="2" t="s">
        <v>1</v>
      </c>
      <c r="B3" s="2" t="s">
        <v>2</v>
      </c>
      <c r="C3" s="2" t="s">
        <v>25</v>
      </c>
      <c r="D3" s="3" t="s">
        <v>3</v>
      </c>
      <c r="E3" s="2" t="s">
        <v>4</v>
      </c>
    </row>
    <row r="4" spans="1:5">
      <c r="A4" s="10" t="s">
        <v>5</v>
      </c>
      <c r="B4" s="2" t="s">
        <v>6</v>
      </c>
      <c r="C4" s="2" t="s">
        <v>26</v>
      </c>
      <c r="D4" s="3">
        <v>138</v>
      </c>
      <c r="E4" s="2" t="s">
        <v>7</v>
      </c>
    </row>
    <row r="5" spans="1:5">
      <c r="A5" s="11"/>
      <c r="B5" s="2" t="s">
        <v>27</v>
      </c>
      <c r="C5" s="2" t="s">
        <v>28</v>
      </c>
      <c r="D5" s="3">
        <v>96</v>
      </c>
      <c r="E5" s="2" t="s">
        <v>7</v>
      </c>
    </row>
    <row r="6" spans="1:5">
      <c r="A6" s="11"/>
      <c r="B6" s="2" t="s">
        <v>9</v>
      </c>
      <c r="C6" s="2" t="s">
        <v>29</v>
      </c>
      <c r="D6" s="3"/>
      <c r="E6" s="2" t="s">
        <v>7</v>
      </c>
    </row>
    <row r="7" spans="1:5">
      <c r="A7" s="11"/>
      <c r="B7" s="2" t="s">
        <v>14</v>
      </c>
      <c r="C7" s="2"/>
      <c r="D7" s="3">
        <f>9+8</f>
        <v>17</v>
      </c>
      <c r="E7" s="2" t="s">
        <v>30</v>
      </c>
    </row>
    <row r="8" spans="1:5">
      <c r="A8" s="13" t="s">
        <v>31</v>
      </c>
      <c r="B8" s="2" t="s">
        <v>27</v>
      </c>
      <c r="C8" s="2" t="s">
        <v>32</v>
      </c>
      <c r="D8" s="3">
        <v>160</v>
      </c>
      <c r="E8" s="2" t="s">
        <v>7</v>
      </c>
    </row>
    <row r="9" spans="1:5">
      <c r="A9" s="14"/>
      <c r="B9" s="2" t="s">
        <v>33</v>
      </c>
      <c r="C9" s="2" t="s">
        <v>34</v>
      </c>
      <c r="D9" s="3">
        <v>14</v>
      </c>
      <c r="E9" s="2" t="s">
        <v>7</v>
      </c>
    </row>
    <row r="10" spans="1:5">
      <c r="A10" s="3" t="s">
        <v>15</v>
      </c>
      <c r="B10" s="2" t="s">
        <v>6</v>
      </c>
      <c r="C10" s="2" t="s">
        <v>35</v>
      </c>
      <c r="D10" s="3">
        <v>7</v>
      </c>
      <c r="E10" s="2" t="s">
        <v>7</v>
      </c>
    </row>
    <row r="11" spans="1:5">
      <c r="A11" s="10" t="s">
        <v>36</v>
      </c>
      <c r="B11" s="2" t="s">
        <v>6</v>
      </c>
      <c r="C11" s="2" t="s">
        <v>26</v>
      </c>
      <c r="D11" s="3">
        <f>140+14</f>
        <v>154</v>
      </c>
      <c r="E11" s="2" t="s">
        <v>7</v>
      </c>
    </row>
    <row r="12" spans="1:5">
      <c r="A12" s="11"/>
      <c r="B12" s="2" t="s">
        <v>27</v>
      </c>
      <c r="C12" s="2" t="s">
        <v>28</v>
      </c>
      <c r="D12" s="3">
        <f>30+36</f>
        <v>66</v>
      </c>
      <c r="E12" s="2" t="s">
        <v>7</v>
      </c>
    </row>
    <row r="13" spans="1:5">
      <c r="A13" s="11"/>
      <c r="B13" s="2" t="s">
        <v>9</v>
      </c>
      <c r="C13" s="2" t="s">
        <v>37</v>
      </c>
      <c r="D13" s="3">
        <f>96+34</f>
        <v>130</v>
      </c>
      <c r="E13" s="2" t="s">
        <v>7</v>
      </c>
    </row>
    <row r="14" spans="1:5">
      <c r="A14" s="11"/>
      <c r="B14" s="2" t="s">
        <v>18</v>
      </c>
      <c r="C14" s="2" t="s">
        <v>38</v>
      </c>
      <c r="D14" s="3">
        <f>30+12</f>
        <v>42</v>
      </c>
      <c r="E14" s="2" t="s">
        <v>7</v>
      </c>
    </row>
    <row r="15" spans="1:5">
      <c r="A15" s="12"/>
      <c r="B15" s="2" t="s">
        <v>14</v>
      </c>
      <c r="C15" s="2"/>
      <c r="D15" s="3">
        <v>6</v>
      </c>
      <c r="E15" s="2" t="s">
        <v>30</v>
      </c>
    </row>
    <row r="16" spans="1:5">
      <c r="A16" s="15" t="s">
        <v>39</v>
      </c>
      <c r="B16" s="2" t="s">
        <v>6</v>
      </c>
      <c r="C16" s="5" t="s">
        <v>66</v>
      </c>
      <c r="D16" s="3"/>
      <c r="E16" s="2" t="s">
        <v>7</v>
      </c>
    </row>
    <row r="17" spans="1:6">
      <c r="A17" s="15"/>
      <c r="B17" s="2" t="s">
        <v>41</v>
      </c>
      <c r="C17" s="5"/>
      <c r="D17" s="3">
        <v>25</v>
      </c>
      <c r="E17" s="2" t="s">
        <v>7</v>
      </c>
    </row>
    <row r="18" spans="1:6">
      <c r="A18" s="15"/>
      <c r="B18" s="2" t="s">
        <v>18</v>
      </c>
      <c r="C18" s="5" t="s">
        <v>65</v>
      </c>
      <c r="D18" s="3">
        <v>13</v>
      </c>
      <c r="E18" s="2" t="s">
        <v>7</v>
      </c>
    </row>
    <row r="19" spans="1:6">
      <c r="A19" s="10" t="s">
        <v>44</v>
      </c>
      <c r="B19" s="2" t="s">
        <v>45</v>
      </c>
      <c r="C19" s="2" t="s">
        <v>63</v>
      </c>
      <c r="D19" s="3">
        <v>30</v>
      </c>
      <c r="E19" s="2" t="s">
        <v>7</v>
      </c>
      <c r="F19" s="4"/>
    </row>
    <row r="20" spans="1:6">
      <c r="A20" s="11"/>
      <c r="B20" s="5" t="s">
        <v>47</v>
      </c>
      <c r="C20" s="2" t="s">
        <v>64</v>
      </c>
      <c r="D20" s="3">
        <v>18</v>
      </c>
      <c r="E20" s="2" t="s">
        <v>7</v>
      </c>
      <c r="F20" s="4"/>
    </row>
    <row r="21" spans="1:6">
      <c r="A21" s="11"/>
      <c r="B21" s="2" t="s">
        <v>49</v>
      </c>
      <c r="C21" s="2"/>
      <c r="D21" s="3">
        <v>50</v>
      </c>
      <c r="E21" s="2" t="s">
        <v>7</v>
      </c>
    </row>
    <row r="22" spans="1:6">
      <c r="A22" s="12"/>
      <c r="B22" s="2" t="s">
        <v>51</v>
      </c>
      <c r="C22" s="2"/>
      <c r="D22" s="3">
        <v>38</v>
      </c>
      <c r="E22" s="2" t="s">
        <v>7</v>
      </c>
    </row>
    <row r="23" spans="1:6">
      <c r="A23" s="16" t="s">
        <v>54</v>
      </c>
      <c r="B23" s="5" t="s">
        <v>56</v>
      </c>
      <c r="C23" s="2" t="s">
        <v>59</v>
      </c>
      <c r="D23" s="2"/>
      <c r="E23" s="2" t="s">
        <v>7</v>
      </c>
    </row>
    <row r="24" spans="1:6">
      <c r="A24" s="11"/>
      <c r="B24" s="5" t="s">
        <v>55</v>
      </c>
      <c r="C24" s="2" t="s">
        <v>60</v>
      </c>
      <c r="D24" s="3">
        <v>10</v>
      </c>
      <c r="E24" s="2" t="s">
        <v>7</v>
      </c>
    </row>
    <row r="25" spans="1:6">
      <c r="A25" s="11"/>
      <c r="B25" s="5" t="s">
        <v>57</v>
      </c>
      <c r="C25" s="2" t="s">
        <v>61</v>
      </c>
      <c r="D25" s="2"/>
      <c r="E25" s="2" t="s">
        <v>7</v>
      </c>
    </row>
    <row r="26" spans="1:6">
      <c r="A26" s="12"/>
      <c r="B26" s="5" t="s">
        <v>58</v>
      </c>
      <c r="C26" s="2" t="s">
        <v>62</v>
      </c>
      <c r="D26" s="2"/>
      <c r="E26" s="2" t="s">
        <v>7</v>
      </c>
    </row>
  </sheetData>
  <mergeCells count="6">
    <mergeCell ref="A23:A26"/>
    <mergeCell ref="A4:A7"/>
    <mergeCell ref="A8:A9"/>
    <mergeCell ref="A11:A15"/>
    <mergeCell ref="A16:A18"/>
    <mergeCell ref="A19:A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63A5-33A8-464D-AF17-F6437F4E8093}">
  <dimension ref="A1:F26"/>
  <sheetViews>
    <sheetView tabSelected="1" workbookViewId="0">
      <selection activeCell="A2" sqref="A2"/>
    </sheetView>
  </sheetViews>
  <sheetFormatPr defaultColWidth="9" defaultRowHeight="15"/>
  <cols>
    <col min="1" max="1" width="13.7109375" customWidth="1"/>
    <col min="2" max="2" width="22.28515625" customWidth="1"/>
    <col min="3" max="3" width="12.7109375" customWidth="1"/>
  </cols>
  <sheetData>
    <row r="1" spans="1:5" ht="18.75">
      <c r="A1" s="1" t="s">
        <v>69</v>
      </c>
    </row>
    <row r="3" spans="1:5">
      <c r="A3" s="2" t="s">
        <v>1</v>
      </c>
      <c r="B3" s="2" t="s">
        <v>2</v>
      </c>
      <c r="C3" s="2" t="s">
        <v>25</v>
      </c>
      <c r="D3" s="3" t="s">
        <v>3</v>
      </c>
      <c r="E3" s="2" t="s">
        <v>4</v>
      </c>
    </row>
    <row r="4" spans="1:5">
      <c r="A4" s="17" t="s">
        <v>5</v>
      </c>
      <c r="B4" s="6" t="s">
        <v>6</v>
      </c>
      <c r="C4" s="6" t="s">
        <v>26</v>
      </c>
      <c r="D4" s="7">
        <v>258</v>
      </c>
      <c r="E4" s="6" t="s">
        <v>7</v>
      </c>
    </row>
    <row r="5" spans="1:5">
      <c r="A5" s="18"/>
      <c r="B5" s="6" t="s">
        <v>27</v>
      </c>
      <c r="C5" s="6" t="s">
        <v>28</v>
      </c>
      <c r="D5" s="7">
        <v>146</v>
      </c>
      <c r="E5" s="6" t="s">
        <v>7</v>
      </c>
    </row>
    <row r="6" spans="1:5">
      <c r="A6" s="18"/>
      <c r="B6" s="6" t="s">
        <v>9</v>
      </c>
      <c r="C6" s="6" t="s">
        <v>29</v>
      </c>
      <c r="D6" s="7"/>
      <c r="E6" s="6" t="s">
        <v>7</v>
      </c>
    </row>
    <row r="7" spans="1:5">
      <c r="A7" s="18"/>
      <c r="B7" s="6" t="s">
        <v>14</v>
      </c>
      <c r="C7" s="6"/>
      <c r="D7" s="7">
        <v>35</v>
      </c>
      <c r="E7" s="6" t="s">
        <v>30</v>
      </c>
    </row>
    <row r="8" spans="1:5">
      <c r="A8" s="13" t="s">
        <v>31</v>
      </c>
      <c r="B8" s="2" t="s">
        <v>27</v>
      </c>
      <c r="C8" s="2" t="s">
        <v>32</v>
      </c>
      <c r="D8" s="3">
        <f>160+77</f>
        <v>237</v>
      </c>
      <c r="E8" s="2" t="s">
        <v>7</v>
      </c>
    </row>
    <row r="9" spans="1:5">
      <c r="A9" s="14"/>
      <c r="B9" s="2" t="s">
        <v>33</v>
      </c>
      <c r="C9" s="2" t="s">
        <v>34</v>
      </c>
      <c r="D9" s="3">
        <f>14+56</f>
        <v>70</v>
      </c>
      <c r="E9" s="2" t="s">
        <v>7</v>
      </c>
    </row>
    <row r="10" spans="1:5">
      <c r="A10" s="3" t="s">
        <v>15</v>
      </c>
      <c r="B10" s="2" t="s">
        <v>6</v>
      </c>
      <c r="C10" s="2" t="s">
        <v>35</v>
      </c>
      <c r="D10" s="3">
        <v>7</v>
      </c>
      <c r="E10" s="2" t="s">
        <v>7</v>
      </c>
    </row>
    <row r="11" spans="1:5">
      <c r="A11" s="10" t="s">
        <v>36</v>
      </c>
      <c r="B11" s="2" t="s">
        <v>6</v>
      </c>
      <c r="C11" s="2" t="s">
        <v>26</v>
      </c>
      <c r="D11" s="3">
        <f>140+14</f>
        <v>154</v>
      </c>
      <c r="E11" s="2" t="s">
        <v>7</v>
      </c>
    </row>
    <row r="12" spans="1:5">
      <c r="A12" s="11"/>
      <c r="B12" s="2" t="s">
        <v>27</v>
      </c>
      <c r="C12" s="2" t="s">
        <v>28</v>
      </c>
      <c r="D12" s="3">
        <f>30+36+12</f>
        <v>78</v>
      </c>
      <c r="E12" s="2" t="s">
        <v>7</v>
      </c>
    </row>
    <row r="13" spans="1:5">
      <c r="A13" s="11"/>
      <c r="B13" s="2" t="s">
        <v>9</v>
      </c>
      <c r="C13" s="2" t="s">
        <v>37</v>
      </c>
      <c r="D13" s="3">
        <f>96+34+10</f>
        <v>140</v>
      </c>
      <c r="E13" s="2" t="s">
        <v>7</v>
      </c>
    </row>
    <row r="14" spans="1:5">
      <c r="A14" s="11"/>
      <c r="B14" s="2" t="s">
        <v>18</v>
      </c>
      <c r="C14" s="2" t="s">
        <v>38</v>
      </c>
      <c r="D14" s="3">
        <f>30+12+3</f>
        <v>45</v>
      </c>
      <c r="E14" s="2" t="s">
        <v>7</v>
      </c>
    </row>
    <row r="15" spans="1:5">
      <c r="A15" s="12"/>
      <c r="B15" s="2" t="s">
        <v>14</v>
      </c>
      <c r="C15" s="2"/>
      <c r="D15" s="3">
        <v>6</v>
      </c>
      <c r="E15" s="2" t="s">
        <v>30</v>
      </c>
    </row>
    <row r="16" spans="1:5">
      <c r="A16" s="19" t="s">
        <v>39</v>
      </c>
      <c r="B16" s="6" t="s">
        <v>6</v>
      </c>
      <c r="C16" s="8" t="s">
        <v>66</v>
      </c>
      <c r="D16" s="7"/>
      <c r="E16" s="6" t="s">
        <v>7</v>
      </c>
    </row>
    <row r="17" spans="1:6">
      <c r="A17" s="19"/>
      <c r="B17" s="6" t="s">
        <v>41</v>
      </c>
      <c r="C17" s="9" t="s">
        <v>67</v>
      </c>
      <c r="D17" s="7">
        <v>25</v>
      </c>
      <c r="E17" s="6" t="s">
        <v>7</v>
      </c>
    </row>
    <row r="18" spans="1:6">
      <c r="A18" s="19"/>
      <c r="B18" s="6" t="s">
        <v>18</v>
      </c>
      <c r="C18" s="8" t="s">
        <v>65</v>
      </c>
      <c r="D18" s="7">
        <v>13</v>
      </c>
      <c r="E18" s="6" t="s">
        <v>7</v>
      </c>
    </row>
    <row r="19" spans="1:6">
      <c r="A19" s="10" t="s">
        <v>44</v>
      </c>
      <c r="B19" s="2" t="s">
        <v>45</v>
      </c>
      <c r="C19" s="2" t="s">
        <v>63</v>
      </c>
      <c r="D19" s="3">
        <v>30</v>
      </c>
      <c r="E19" s="2" t="s">
        <v>7</v>
      </c>
      <c r="F19" s="4"/>
    </row>
    <row r="20" spans="1:6">
      <c r="A20" s="11"/>
      <c r="B20" s="5" t="s">
        <v>47</v>
      </c>
      <c r="C20" s="2" t="s">
        <v>64</v>
      </c>
      <c r="D20" s="3">
        <v>18</v>
      </c>
      <c r="E20" s="2" t="s">
        <v>7</v>
      </c>
      <c r="F20" s="4"/>
    </row>
    <row r="21" spans="1:6">
      <c r="A21" s="11"/>
      <c r="B21" s="2" t="s">
        <v>49</v>
      </c>
      <c r="C21" s="2"/>
      <c r="D21" s="3">
        <v>50</v>
      </c>
      <c r="E21" s="2" t="s">
        <v>7</v>
      </c>
    </row>
    <row r="22" spans="1:6">
      <c r="A22" s="12"/>
      <c r="B22" s="2" t="s">
        <v>51</v>
      </c>
      <c r="C22" s="2"/>
      <c r="D22" s="3">
        <v>38</v>
      </c>
      <c r="E22" s="2" t="s">
        <v>7</v>
      </c>
    </row>
    <row r="23" spans="1:6">
      <c r="A23" s="20" t="s">
        <v>68</v>
      </c>
      <c r="B23" s="5" t="s">
        <v>56</v>
      </c>
      <c r="C23" s="2" t="s">
        <v>59</v>
      </c>
      <c r="D23" s="2"/>
      <c r="E23" s="2" t="s">
        <v>7</v>
      </c>
    </row>
    <row r="24" spans="1:6">
      <c r="A24" s="11"/>
      <c r="B24" s="5" t="s">
        <v>55</v>
      </c>
      <c r="C24" s="2" t="s">
        <v>60</v>
      </c>
      <c r="D24" s="3">
        <v>10</v>
      </c>
      <c r="E24" s="2" t="s">
        <v>7</v>
      </c>
    </row>
    <row r="25" spans="1:6">
      <c r="A25" s="11"/>
      <c r="B25" s="5" t="s">
        <v>57</v>
      </c>
      <c r="C25" s="2" t="s">
        <v>61</v>
      </c>
      <c r="D25" s="2"/>
      <c r="E25" s="2" t="s">
        <v>7</v>
      </c>
    </row>
    <row r="26" spans="1:6">
      <c r="A26" s="12"/>
      <c r="B26" s="5" t="s">
        <v>58</v>
      </c>
      <c r="C26" s="2" t="s">
        <v>62</v>
      </c>
      <c r="D26" s="2"/>
      <c r="E26" s="2" t="s">
        <v>7</v>
      </c>
    </row>
  </sheetData>
  <mergeCells count="6">
    <mergeCell ref="A23:A26"/>
    <mergeCell ref="A4:A7"/>
    <mergeCell ref="A8:A9"/>
    <mergeCell ref="A11:A15"/>
    <mergeCell ref="A16:A18"/>
    <mergeCell ref="A19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NOV-25</vt:lpstr>
      <vt:lpstr>April</vt:lpstr>
      <vt:lpstr>Mei</vt:lpstr>
      <vt:lpstr>Juni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IMAN-PROD</dc:creator>
  <cp:lastModifiedBy>Nita Anjani</cp:lastModifiedBy>
  <dcterms:created xsi:type="dcterms:W3CDTF">2025-12-03T06:38:00Z</dcterms:created>
  <dcterms:modified xsi:type="dcterms:W3CDTF">2026-07-02T09:29:18Z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6D1D690E428A467FA15376EF3AAE8BBA_12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